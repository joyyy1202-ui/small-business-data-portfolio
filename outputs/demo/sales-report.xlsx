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0cc3de6d94d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390836d4a6414d"/>
    <x:sheet xmlns:r="http://schemas.openxmlformats.org/officeDocument/2006/relationships" name="Orders" sheetId="2" r:id="R26f29c040a174f85"/>
    <x:sheet xmlns:r="http://schemas.openxmlformats.org/officeDocument/2006/relationships" name="Exceptions" sheetId="3" r:id="R237cbb160dd4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&quot;$&quot;#,##0.00"/>
  </x:numFmts>
  <x:fonts count="4">
    <x:font>
      <x:sz val="11"/>
      <x:name val="Carlito"/>
    </x:font>
    <x:font>
      <x:sz val="11"/>
      <x:color rgb="FF1C2938"/>
      <x:name val="Arial"/>
    </x:font>
    <x:font>
      <x:b/>
      <x:sz val="11"/>
      <x:color rgb="FFFFFFFF"/>
      <x:name val="Arial"/>
    </x:font>
    <x:font>
      <x:b/>
      <x:sz val="16"/>
      <x:color rgb="FF1C293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b1e0dd1084cdb" /><Relationship Type="http://schemas.openxmlformats.org/officeDocument/2006/relationships/theme" Target="/xl/theme/theme1.xml" Id="Rb94adcba78da4ce6" /><Relationship Type="http://schemas.openxmlformats.org/officeDocument/2006/relationships/sharedStrings" Target="/xl/sharedStrings.xml" Id="Rd71d259822124c0c" /><Relationship Type="http://schemas.openxmlformats.org/officeDocument/2006/relationships/worksheet" Target="/xl/worksheets/sheet1.xml" Id="R46390836d4a6414d" /><Relationship Type="http://schemas.openxmlformats.org/officeDocument/2006/relationships/worksheet" Target="/xl/worksheets/sheet2.xml" Id="R26f29c040a174f85" /><Relationship Type="http://schemas.openxmlformats.org/officeDocument/2006/relationships/worksheet" Target="/xl/worksheets/sheet3.xml" Id="R237cbb160dd44286" /></Relationships>
</file>

<file path=xl/tables/table1.xml><?xml version="1.0" encoding="utf-8"?>
<x:table xmlns:x="http://schemas.openxmlformats.org/spreadsheetml/2006/main" id="1" name="PaidOrders" displayName="PaidOrders" ref="A1:I24" headerRowCount="1" totalsRowCount="0" totalsRowShown="0">
  <x:tableColumns count="9">
    <x:tableColumn id="1" name="Order ID"/>
    <x:tableColumn id="2" name="Date"/>
    <x:tableColumn id="3" name="Channel"/>
    <x:tableColumn id="4" name="Product"/>
    <x:tableColumn id="5" name="Quantity"/>
    <x:tableColumn id="6" name="Unit price USD"/>
    <x:tableColumn id="7" name="Status"/>
    <x:tableColumn id="8" name="Source"/>
    <x:tableColumn id="9" name="Sales 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31e0148aaa42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3"/>
      <x:c r="B1" s="3"/>
      <x:c r="C1" s="3"/>
      <x:c r="D1" s="3"/>
    </x:row>
    <x:row r="2" ht="24" customHeight="1">
      <x:c r="A2" s="8" t="str">
        <x:v>Sales report</x:v>
      </x:c>
      <x:c r="B2" s="3"/>
      <x:c r="C2" s="3"/>
      <x:c r="D2" s="3"/>
    </x:row>
    <x:row r="3" ht="24" customHeight="1">
      <x:c r="A3" s="3" t="str">
        <x:v>Demo store. USD. Paid orders only.</x:v>
      </x:c>
      <x:c r="B3" s="3"/>
      <x:c r="C3" s="3"/>
      <x:c r="D3" s="3"/>
    </x:row>
    <x:row r="4" ht="24" customHeight="1">
      <x:c r="A4" s="3"/>
      <x:c r="B4" s="3"/>
      <x:c r="C4" s="3"/>
      <x:c r="D4" s="3"/>
    </x:row>
    <x:row r="5" ht="30" customHeight="1">
      <x:c r="A5" s="7" t="str">
        <x:v>Metric</x:v>
      </x:c>
      <x:c r="B5" s="7" t="str">
        <x:v>Value</x:v>
      </x:c>
      <x:c r="C5" s="3"/>
      <x:c r="D5" s="3"/>
    </x:row>
    <x:row r="6" ht="24" customHeight="1">
      <x:c r="A6" s="3" t="str">
        <x:v>Input rows</x:v>
      </x:c>
      <x:c r="B6" s="3" t="n">
        <x:v>27</x:v>
      </x:c>
      <x:c r="C6" s="3"/>
      <x:c r="D6" s="3"/>
    </x:row>
    <x:row r="7" ht="24" customHeight="1">
      <x:c r="A7" s="3" t="str">
        <x:v>Paid orders</x:v>
      </x:c>
      <x:c r="B7" s="3" t="n">
        <x:v>23</x:v>
      </x:c>
      <x:c r="C7" s="3"/>
      <x:c r="D7" s="3"/>
    </x:row>
    <x:row r="8" ht="24" customHeight="1">
      <x:c r="A8" s="3" t="str">
        <x:v>Excluded rows</x:v>
      </x:c>
      <x:c r="B8" s="3" t="n">
        <x:v>4</x:v>
      </x:c>
      <x:c r="C8" s="3"/>
      <x:c r="D8" s="3"/>
    </x:row>
    <x:row r="9" ht="24" customHeight="1">
      <x:c r="A9" s="3" t="str">
        <x:v>Sales USD</x:v>
      </x:c>
      <x:c r="B9" s="9" t="n">
        <x:f>SUM('Orders'!I2:I24)</x:f>
        <x:v>1733</x:v>
      </x:c>
      <x:c r="C9" s="3"/>
      <x:c r="D9" s="3"/>
    </x:row>
    <x:row r="10" ht="24" customHeight="1">
      <x:c r="A10" s="3"/>
      <x:c r="B10" s="3"/>
      <x:c r="C10" s="3"/>
      <x:c r="D10" s="3"/>
    </x:row>
    <x:row r="11" ht="24" customHeight="1">
      <x:c r="A11" s="3"/>
      <x:c r="B11" s="3"/>
      <x:c r="C11" s="3"/>
      <x:c r="D11" s="3"/>
    </x:row>
    <x:row r="12" ht="24" customHeight="1">
      <x:c r="A12" s="7" t="str">
        <x:v>Channel</x:v>
      </x:c>
      <x:c r="B12" s="7" t="str">
        <x:v>Sales USD</x:v>
      </x:c>
      <x:c r="C12" s="3"/>
      <x:c r="D12" s="3"/>
    </x:row>
    <x:row r="13" ht="24" customHeight="1">
      <x:c r="A13" s="3" t="str">
        <x:v>Online</x:v>
      </x:c>
      <x:c r="B13" s="9" t="n">
        <x:f>SUMIFS('Orders'!$I$2:$I$24,'Orders'!$C$2:$C$24,A13)</x:f>
        <x:v>626</x:v>
      </x:c>
      <x:c r="C13" s="3"/>
      <x:c r="D13" s="3"/>
    </x:row>
    <x:row r="14" ht="24" customHeight="1">
      <x:c r="A14" s="3" t="str">
        <x:v>Retail</x:v>
      </x:c>
      <x:c r="B14" s="9" t="n">
        <x:f>SUMIFS('Orders'!$I$2:$I$24,'Orders'!$C$2:$C$24,A14)</x:f>
        <x:v>544.5</x:v>
      </x:c>
      <x:c r="C14" s="3"/>
      <x:c r="D14" s="3"/>
    </x:row>
    <x:row r="15" ht="24" customHeight="1">
      <x:c r="A15" s="3" t="str">
        <x:v>Wholesale</x:v>
      </x:c>
      <x:c r="B15" s="9" t="n">
        <x:f>SUMIFS('Orders'!$I$2:$I$24,'Orders'!$C$2:$C$24,A15)</x:f>
        <x:v>562.5</x:v>
      </x:c>
      <x:c r="C15" s="3"/>
      <x:c r="D15" s="3"/>
    </x:row>
    <x:row r="16" ht="24" customHeight="1">
      <x:c r="A16" s="3"/>
      <x:c r="B16" s="3"/>
      <x:c r="C16" s="3"/>
      <x:c r="D16" s="3"/>
    </x:row>
    <x:row r="17" ht="24" customHeight="1">
      <x:c r="A17" s="3"/>
      <x:c r="B17" s="3"/>
      <x:c r="C17" s="3"/>
      <x:c r="D17" s="3"/>
    </x:row>
    <x:row r="18" ht="24" customHeight="1">
      <x:c r="A18" s="3" t="str">
        <x:v>Source: synthetic demo inputs; not client work.</x:v>
      </x:c>
      <x:c r="B18" s="3"/>
      <x:c r="C18" s="3"/>
      <x:c r="D18" s="3"/>
    </x:row>
    <x:row r="19" ht="24" customHeight="1">
      <x:c r="A19" s="3"/>
      <x:c r="B19" s="3"/>
      <x:c r="C19" s="3"/>
      <x:c r="D19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5" hidden="0" customWidth="1"/>
    <x:col min="9" max="9" width="18" hidden="0" customWidth="1"/>
  </x:cols>
  <x:sheetData>
    <x:row r="1" ht="30" customHeight="1">
      <x:c r="A1" s="7" t="str">
        <x:v>Order ID</x:v>
      </x:c>
      <x:c r="B1" s="7" t="str">
        <x:v>Date</x:v>
      </x:c>
      <x:c r="C1" s="7" t="str">
        <x:v>Channel</x:v>
      </x:c>
      <x:c r="D1" s="7" t="str">
        <x:v>Product</x:v>
      </x:c>
      <x:c r="E1" s="7" t="str">
        <x:v>Quantity</x:v>
      </x:c>
      <x:c r="F1" s="7" t="str">
        <x:v>Unit price USD</x:v>
      </x:c>
      <x:c r="G1" s="7" t="str">
        <x:v>Status</x:v>
      </x:c>
      <x:c r="H1" s="7" t="str">
        <x:v>Source</x:v>
      </x:c>
      <x:c r="I1" s="7" t="str">
        <x:v>Sales USD</x:v>
      </x:c>
    </x:row>
    <x:row r="2" ht="24" customHeight="1">
      <x:c r="A2" s="3" t="str">
        <x:v>ORD-001</x:v>
      </x:c>
      <x:c r="B2" s="4" t="n">
        <x:v>46296</x:v>
      </x:c>
      <x:c r="C2" s="3" t="str">
        <x:v>Online</x:v>
      </x:c>
      <x:c r="D2" s="3" t="str">
        <x:v>Notebook</x:v>
      </x:c>
      <x:c r="E2" s="3" t="n">
        <x:v>1</x:v>
      </x:c>
      <x:c r="F2" s="5" t="n">
        <x:v>12.5</x:v>
      </x:c>
      <x:c r="G2" s="3" t="str">
        <x:v>paid</x:v>
      </x:c>
      <x:c r="H2" s="3" t="str">
        <x:v>batch-1.xlsx/Orders:2</x:v>
      </x:c>
      <x:c r="I2" s="5" t="n">
        <x:f>ROUND(E2*F2,2)</x:f>
        <x:v>12.5</x:v>
      </x:c>
    </x:row>
    <x:row r="3" ht="24" customHeight="1">
      <x:c r="A3" s="3" t="str">
        <x:v>ORD-002</x:v>
      </x:c>
      <x:c r="B3" s="4" t="n">
        <x:v>46297</x:v>
      </x:c>
      <x:c r="C3" s="3" t="str">
        <x:v>Retail</x:v>
      </x:c>
      <x:c r="D3" s="3" t="str">
        <x:v>Desk lamp</x:v>
      </x:c>
      <x:c r="E3" s="3" t="n">
        <x:v>2</x:v>
      </x:c>
      <x:c r="F3" s="5" t="n">
        <x:v>48</x:v>
      </x:c>
      <x:c r="G3" s="3" t="str">
        <x:v>paid</x:v>
      </x:c>
      <x:c r="H3" s="3" t="str">
        <x:v>batch-1.xlsx/Orders:3</x:v>
      </x:c>
      <x:c r="I3" s="5" t="n">
        <x:f>ROUND(E3*F3,2)</x:f>
        <x:v>96</x:v>
      </x:c>
    </x:row>
    <x:row r="4" ht="24" customHeight="1">
      <x:c r="A4" s="3" t="str">
        <x:v>ORD-003</x:v>
      </x:c>
      <x:c r="B4" s="4" t="n">
        <x:v>46298</x:v>
      </x:c>
      <x:c r="C4" s="3" t="str">
        <x:v>Wholesale</x:v>
      </x:c>
      <x:c r="D4" s="3" t="str">
        <x:v>Canvas bag</x:v>
      </x:c>
      <x:c r="E4" s="3" t="n">
        <x:v>3</x:v>
      </x:c>
      <x:c r="F4" s="5" t="n">
        <x:v>25</x:v>
      </x:c>
      <x:c r="G4" s="3" t="str">
        <x:v>paid</x:v>
      </x:c>
      <x:c r="H4" s="3" t="str">
        <x:v>batch-1.xlsx/Orders:4</x:v>
      </x:c>
      <x:c r="I4" s="5" t="n">
        <x:f>ROUND(E4*F4,2)</x:f>
        <x:v>75</x:v>
      </x:c>
    </x:row>
    <x:row r="5" ht="24" customHeight="1">
      <x:c r="A5" s="3" t="str">
        <x:v>ORD-004</x:v>
      </x:c>
      <x:c r="B5" s="4" t="n">
        <x:v>46299</x:v>
      </x:c>
      <x:c r="C5" s="3" t="str">
        <x:v>Online</x:v>
      </x:c>
      <x:c r="D5" s="3" t="str">
        <x:v>Mug</x:v>
      </x:c>
      <x:c r="E5" s="3" t="n">
        <x:v>4</x:v>
      </x:c>
      <x:c r="F5" s="5" t="n">
        <x:v>18</x:v>
      </x:c>
      <x:c r="G5" s="3" t="str">
        <x:v>paid</x:v>
      </x:c>
      <x:c r="H5" s="3" t="str">
        <x:v>batch-1.xlsx/Orders:5</x:v>
      </x:c>
      <x:c r="I5" s="5" t="n">
        <x:f>ROUND(E5*F5,2)</x:f>
        <x:v>72</x:v>
      </x:c>
    </x:row>
    <x:row r="6" ht="24" customHeight="1">
      <x:c r="A6" s="3" t="str">
        <x:v>ORD-005</x:v>
      </x:c>
      <x:c r="B6" s="4" t="n">
        <x:v>46300</x:v>
      </x:c>
      <x:c r="C6" s="3" t="str">
        <x:v>Retail</x:v>
      </x:c>
      <x:c r="D6" s="3" t="str">
        <x:v>Notebook</x:v>
      </x:c>
      <x:c r="E6" s="3" t="n">
        <x:v>5</x:v>
      </x:c>
      <x:c r="F6" s="5" t="n">
        <x:v>12.5</x:v>
      </x:c>
      <x:c r="G6" s="3" t="str">
        <x:v>paid</x:v>
      </x:c>
      <x:c r="H6" s="3" t="str">
        <x:v>batch-1.xlsx/Orders:6</x:v>
      </x:c>
      <x:c r="I6" s="5" t="n">
        <x:f>ROUND(E6*F6,2)</x:f>
        <x:v>62.5</x:v>
      </x:c>
    </x:row>
    <x:row r="7" ht="24" customHeight="1">
      <x:c r="A7" s="3" t="str">
        <x:v>ORD-006</x:v>
      </x:c>
      <x:c r="B7" s="4" t="n">
        <x:v>46301</x:v>
      </x:c>
      <x:c r="C7" s="3" t="str">
        <x:v>Wholesale</x:v>
      </x:c>
      <x:c r="D7" s="3" t="str">
        <x:v>Desk lamp</x:v>
      </x:c>
      <x:c r="E7" s="3" t="n">
        <x:v>1</x:v>
      </x:c>
      <x:c r="F7" s="5" t="n">
        <x:v>48</x:v>
      </x:c>
      <x:c r="G7" s="3" t="str">
        <x:v>paid</x:v>
      </x:c>
      <x:c r="H7" s="3" t="str">
        <x:v>batch-1.xlsx/Orders:7</x:v>
      </x:c>
      <x:c r="I7" s="5" t="n">
        <x:f>ROUND(E7*F7,2)</x:f>
        <x:v>48</x:v>
      </x:c>
    </x:row>
    <x:row r="8" ht="24" customHeight="1">
      <x:c r="A8" s="3" t="str">
        <x:v>ORD-007</x:v>
      </x:c>
      <x:c r="B8" s="4" t="n">
        <x:v>46302</x:v>
      </x:c>
      <x:c r="C8" s="3" t="str">
        <x:v>Online</x:v>
      </x:c>
      <x:c r="D8" s="3" t="str">
        <x:v>Canvas bag</x:v>
      </x:c>
      <x:c r="E8" s="3" t="n">
        <x:v>2</x:v>
      </x:c>
      <x:c r="F8" s="5" t="n">
        <x:v>25</x:v>
      </x:c>
      <x:c r="G8" s="3" t="str">
        <x:v>paid</x:v>
      </x:c>
      <x:c r="H8" s="3" t="str">
        <x:v>batch-1.xlsx/Orders:8</x:v>
      </x:c>
      <x:c r="I8" s="5" t="n">
        <x:f>ROUND(E8*F8,2)</x:f>
        <x:v>50</x:v>
      </x:c>
    </x:row>
    <x:row r="9" ht="24" customHeight="1">
      <x:c r="A9" s="3" t="str">
        <x:v>ORD-008</x:v>
      </x:c>
      <x:c r="B9" s="4" t="n">
        <x:v>46303</x:v>
      </x:c>
      <x:c r="C9" s="3" t="str">
        <x:v>Retail</x:v>
      </x:c>
      <x:c r="D9" s="3" t="str">
        <x:v>Mug</x:v>
      </x:c>
      <x:c r="E9" s="3" t="n">
        <x:v>3</x:v>
      </x:c>
      <x:c r="F9" s="5" t="n">
        <x:v>18</x:v>
      </x:c>
      <x:c r="G9" s="3" t="str">
        <x:v>paid</x:v>
      </x:c>
      <x:c r="H9" s="3" t="str">
        <x:v>batch-1.xlsx/Orders:9</x:v>
      </x:c>
      <x:c r="I9" s="5" t="n">
        <x:f>ROUND(E9*F9,2)</x:f>
        <x:v>54</x:v>
      </x:c>
    </x:row>
    <x:row r="10" ht="24" customHeight="1">
      <x:c r="A10" s="3" t="str">
        <x:v>ORD-009</x:v>
      </x:c>
      <x:c r="B10" s="4" t="n">
        <x:v>46304</x:v>
      </x:c>
      <x:c r="C10" s="3" t="str">
        <x:v>Wholesale</x:v>
      </x:c>
      <x:c r="D10" s="3" t="str">
        <x:v>Notebook</x:v>
      </x:c>
      <x:c r="E10" s="3" t="n">
        <x:v>4</x:v>
      </x:c>
      <x:c r="F10" s="5" t="n">
        <x:v>12.5</x:v>
      </x:c>
      <x:c r="G10" s="3" t="str">
        <x:v>paid</x:v>
      </x:c>
      <x:c r="H10" s="3" t="str">
        <x:v>batch-1.xlsx/Orders:10</x:v>
      </x:c>
      <x:c r="I10" s="5" t="n">
        <x:f>ROUND(E10*F10,2)</x:f>
        <x:v>50</x:v>
      </x:c>
    </x:row>
    <x:row r="11" ht="24" customHeight="1">
      <x:c r="A11" s="3" t="str">
        <x:v>ORD-010</x:v>
      </x:c>
      <x:c r="B11" s="4" t="n">
        <x:v>46305</x:v>
      </x:c>
      <x:c r="C11" s="3" t="str">
        <x:v>Online</x:v>
      </x:c>
      <x:c r="D11" s="3" t="str">
        <x:v>Desk lamp</x:v>
      </x:c>
      <x:c r="E11" s="3" t="n">
        <x:v>5</x:v>
      </x:c>
      <x:c r="F11" s="5" t="n">
        <x:v>48</x:v>
      </x:c>
      <x:c r="G11" s="3" t="str">
        <x:v>paid</x:v>
      </x:c>
      <x:c r="H11" s="3" t="str">
        <x:v>batch-1.xlsx/Orders:11</x:v>
      </x:c>
      <x:c r="I11" s="5" t="n">
        <x:f>ROUND(E11*F11,2)</x:f>
        <x:v>240</x:v>
      </x:c>
    </x:row>
    <x:row r="12" ht="24" customHeight="1">
      <x:c r="A12" s="3" t="str">
        <x:v>ORD-011</x:v>
      </x:c>
      <x:c r="B12" s="4" t="n">
        <x:v>46306</x:v>
      </x:c>
      <x:c r="C12" s="3" t="str">
        <x:v>Retail</x:v>
      </x:c>
      <x:c r="D12" s="3" t="str">
        <x:v>Canvas bag</x:v>
      </x:c>
      <x:c r="E12" s="3" t="n">
        <x:v>1</x:v>
      </x:c>
      <x:c r="F12" s="5" t="n">
        <x:v>25</x:v>
      </x:c>
      <x:c r="G12" s="3" t="str">
        <x:v>paid</x:v>
      </x:c>
      <x:c r="H12" s="3" t="str">
        <x:v>batch-1.xlsx/Orders:12</x:v>
      </x:c>
      <x:c r="I12" s="5" t="n">
        <x:f>ROUND(E12*F12,2)</x:f>
        <x:v>25</x:v>
      </x:c>
    </x:row>
    <x:row r="13" ht="24" customHeight="1">
      <x:c r="A13" s="3" t="str">
        <x:v>ORD-012</x:v>
      </x:c>
      <x:c r="B13" s="4" t="n">
        <x:v>46307</x:v>
      </x:c>
      <x:c r="C13" s="3" t="str">
        <x:v>Wholesale</x:v>
      </x:c>
      <x:c r="D13" s="3" t="str">
        <x:v>Mug</x:v>
      </x:c>
      <x:c r="E13" s="3" t="n">
        <x:v>2</x:v>
      </x:c>
      <x:c r="F13" s="5" t="n">
        <x:v>18</x:v>
      </x:c>
      <x:c r="G13" s="3" t="str">
        <x:v>paid</x:v>
      </x:c>
      <x:c r="H13" s="3" t="str">
        <x:v>batch-1.xlsx/Orders:13</x:v>
      </x:c>
      <x:c r="I13" s="5" t="n">
        <x:f>ROUND(E13*F13,2)</x:f>
        <x:v>36</x:v>
      </x:c>
    </x:row>
    <x:row r="14" ht="24" customHeight="1">
      <x:c r="A14" s="3" t="str">
        <x:v>ORD-013</x:v>
      </x:c>
      <x:c r="B14" s="4" t="n">
        <x:v>46296</x:v>
      </x:c>
      <x:c r="C14" s="3" t="str">
        <x:v>Online</x:v>
      </x:c>
      <x:c r="D14" s="3" t="str">
        <x:v>Notebook</x:v>
      </x:c>
      <x:c r="E14" s="3" t="n">
        <x:v>3</x:v>
      </x:c>
      <x:c r="F14" s="5" t="n">
        <x:v>12.5</x:v>
      </x:c>
      <x:c r="G14" s="3" t="str">
        <x:v>paid</x:v>
      </x:c>
      <x:c r="H14" s="3" t="str">
        <x:v>batch-1.xlsx/Orders:14</x:v>
      </x:c>
      <x:c r="I14" s="5" t="n">
        <x:f>ROUND(E14*F14,2)</x:f>
        <x:v>37.5</x:v>
      </x:c>
    </x:row>
    <x:row r="15" ht="24" customHeight="1">
      <x:c r="A15" s="3" t="str">
        <x:v>ORD-014</x:v>
      </x:c>
      <x:c r="B15" s="4" t="n">
        <x:v>46297</x:v>
      </x:c>
      <x:c r="C15" s="3" t="str">
        <x:v>Retail</x:v>
      </x:c>
      <x:c r="D15" s="3" t="str">
        <x:v>Desk lamp</x:v>
      </x:c>
      <x:c r="E15" s="3" t="n">
        <x:v>4</x:v>
      </x:c>
      <x:c r="F15" s="5" t="n">
        <x:v>48</x:v>
      </x:c>
      <x:c r="G15" s="3" t="str">
        <x:v>paid</x:v>
      </x:c>
      <x:c r="H15" s="3" t="str">
        <x:v>batch-1.xlsx/Orders:15</x:v>
      </x:c>
      <x:c r="I15" s="5" t="n">
        <x:f>ROUND(E15*F15,2)</x:f>
        <x:v>192</x:v>
      </x:c>
    </x:row>
    <x:row r="16" ht="24" customHeight="1">
      <x:c r="A16" s="3" t="str">
        <x:v>ORD-015</x:v>
      </x:c>
      <x:c r="B16" s="4" t="n">
        <x:v>46298</x:v>
      </x:c>
      <x:c r="C16" s="3" t="str">
        <x:v>Wholesale</x:v>
      </x:c>
      <x:c r="D16" s="3" t="str">
        <x:v>Canvas bag</x:v>
      </x:c>
      <x:c r="E16" s="3" t="n">
        <x:v>5</x:v>
      </x:c>
      <x:c r="F16" s="5" t="n">
        <x:v>25</x:v>
      </x:c>
      <x:c r="G16" s="3" t="str">
        <x:v>paid</x:v>
      </x:c>
      <x:c r="H16" s="3" t="str">
        <x:v>batch-2.xlsx/Orders:2</x:v>
      </x:c>
      <x:c r="I16" s="5" t="n">
        <x:f>ROUND(E16*F16,2)</x:f>
        <x:v>125</x:v>
      </x:c>
    </x:row>
    <x:row r="17" ht="24" customHeight="1">
      <x:c r="A17" s="3" t="str">
        <x:v>ORD-016</x:v>
      </x:c>
      <x:c r="B17" s="4" t="n">
        <x:v>46299</x:v>
      </x:c>
      <x:c r="C17" s="3" t="str">
        <x:v>Online</x:v>
      </x:c>
      <x:c r="D17" s="3" t="str">
        <x:v>Mug</x:v>
      </x:c>
      <x:c r="E17" s="3" t="n">
        <x:v>1</x:v>
      </x:c>
      <x:c r="F17" s="5" t="n">
        <x:v>18</x:v>
      </x:c>
      <x:c r="G17" s="3" t="str">
        <x:v>paid</x:v>
      </x:c>
      <x:c r="H17" s="3" t="str">
        <x:v>batch-2.xlsx/Orders:3</x:v>
      </x:c>
      <x:c r="I17" s="5" t="n">
        <x:f>ROUND(E17*F17,2)</x:f>
        <x:v>18</x:v>
      </x:c>
    </x:row>
    <x:row r="18" ht="24" customHeight="1">
      <x:c r="A18" s="3" t="str">
        <x:v>ORD-017</x:v>
      </x:c>
      <x:c r="B18" s="4" t="n">
        <x:v>46300</x:v>
      </x:c>
      <x:c r="C18" s="3" t="str">
        <x:v>Retail</x:v>
      </x:c>
      <x:c r="D18" s="3" t="str">
        <x:v>Notebook</x:v>
      </x:c>
      <x:c r="E18" s="3" t="n">
        <x:v>2</x:v>
      </x:c>
      <x:c r="F18" s="5" t="n">
        <x:v>12.5</x:v>
      </x:c>
      <x:c r="G18" s="3" t="str">
        <x:v>paid</x:v>
      </x:c>
      <x:c r="H18" s="3" t="str">
        <x:v>batch-2.xlsx/Orders:4</x:v>
      </x:c>
      <x:c r="I18" s="5" t="n">
        <x:f>ROUND(E18*F18,2)</x:f>
        <x:v>25</x:v>
      </x:c>
    </x:row>
    <x:row r="19" ht="24" customHeight="1">
      <x:c r="A19" s="3" t="str">
        <x:v>ORD-018</x:v>
      </x:c>
      <x:c r="B19" s="4" t="n">
        <x:v>46301</x:v>
      </x:c>
      <x:c r="C19" s="3" t="str">
        <x:v>Wholesale</x:v>
      </x:c>
      <x:c r="D19" s="3" t="str">
        <x:v>Desk lamp</x:v>
      </x:c>
      <x:c r="E19" s="3" t="n">
        <x:v>3</x:v>
      </x:c>
      <x:c r="F19" s="5" t="n">
        <x:v>48</x:v>
      </x:c>
      <x:c r="G19" s="3" t="str">
        <x:v>paid</x:v>
      </x:c>
      <x:c r="H19" s="3" t="str">
        <x:v>batch-2.xlsx/Orders:5</x:v>
      </x:c>
      <x:c r="I19" s="5" t="n">
        <x:f>ROUND(E19*F19,2)</x:f>
        <x:v>144</x:v>
      </x:c>
    </x:row>
    <x:row r="20" ht="24" customHeight="1">
      <x:c r="A20" s="3" t="str">
        <x:v>ORD-019</x:v>
      </x:c>
      <x:c r="B20" s="4" t="n">
        <x:v>46302</x:v>
      </x:c>
      <x:c r="C20" s="3" t="str">
        <x:v>Online</x:v>
      </x:c>
      <x:c r="D20" s="3" t="str">
        <x:v>Canvas bag</x:v>
      </x:c>
      <x:c r="E20" s="3" t="n">
        <x:v>4</x:v>
      </x:c>
      <x:c r="F20" s="5" t="n">
        <x:v>25</x:v>
      </x:c>
      <x:c r="G20" s="3" t="str">
        <x:v>paid</x:v>
      </x:c>
      <x:c r="H20" s="3" t="str">
        <x:v>batch-2.xlsx/Orders:6</x:v>
      </x:c>
      <x:c r="I20" s="5" t="n">
        <x:f>ROUND(E20*F20,2)</x:f>
        <x:v>100</x:v>
      </x:c>
    </x:row>
    <x:row r="21" ht="24" customHeight="1">
      <x:c r="A21" s="3" t="str">
        <x:v>ORD-020</x:v>
      </x:c>
      <x:c r="B21" s="4" t="n">
        <x:v>46303</x:v>
      </x:c>
      <x:c r="C21" s="3" t="str">
        <x:v>Retail</x:v>
      </x:c>
      <x:c r="D21" s="3" t="str">
        <x:v>Mug</x:v>
      </x:c>
      <x:c r="E21" s="3" t="n">
        <x:v>5</x:v>
      </x:c>
      <x:c r="F21" s="5" t="n">
        <x:v>18</x:v>
      </x:c>
      <x:c r="G21" s="3" t="str">
        <x:v>paid</x:v>
      </x:c>
      <x:c r="H21" s="3" t="str">
        <x:v>batch-2.xlsx/Orders:7</x:v>
      </x:c>
      <x:c r="I21" s="5" t="n">
        <x:f>ROUND(E21*F21,2)</x:f>
        <x:v>90</x:v>
      </x:c>
    </x:row>
    <x:row r="22" ht="24" customHeight="1">
      <x:c r="A22" s="3" t="str">
        <x:v>ORD-021</x:v>
      </x:c>
      <x:c r="B22" s="4" t="n">
        <x:v>46304</x:v>
      </x:c>
      <x:c r="C22" s="3" t="str">
        <x:v>Wholesale</x:v>
      </x:c>
      <x:c r="D22" s="3" t="str">
        <x:v>Notebook</x:v>
      </x:c>
      <x:c r="E22" s="3" t="n">
        <x:v>1</x:v>
      </x:c>
      <x:c r="F22" s="5" t="n">
        <x:v>12.5</x:v>
      </x:c>
      <x:c r="G22" s="3" t="str">
        <x:v>paid</x:v>
      </x:c>
      <x:c r="H22" s="3" t="str">
        <x:v>batch-2.xlsx/Orders:8</x:v>
      </x:c>
      <x:c r="I22" s="5" t="n">
        <x:f>ROUND(E22*F22,2)</x:f>
        <x:v>12.5</x:v>
      </x:c>
    </x:row>
    <x:row r="23" ht="24" customHeight="1">
      <x:c r="A23" s="3" t="str">
        <x:v>ORD-022</x:v>
      </x:c>
      <x:c r="B23" s="4" t="n">
        <x:v>46305</x:v>
      </x:c>
      <x:c r="C23" s="3" t="str">
        <x:v>Online</x:v>
      </x:c>
      <x:c r="D23" s="3" t="str">
        <x:v>Desk lamp</x:v>
      </x:c>
      <x:c r="E23" s="3" t="n">
        <x:v>2</x:v>
      </x:c>
      <x:c r="F23" s="5" t="n">
        <x:v>48</x:v>
      </x:c>
      <x:c r="G23" s="3" t="str">
        <x:v>paid</x:v>
      </x:c>
      <x:c r="H23" s="3" t="str">
        <x:v>batch-2.xlsx/Orders:9</x:v>
      </x:c>
      <x:c r="I23" s="5" t="n">
        <x:f>ROUND(E23*F23,2)</x:f>
        <x:v>96</x:v>
      </x:c>
    </x:row>
    <x:row r="24" ht="24" customHeight="1">
      <x:c r="A24" s="3" t="str">
        <x:v>ORD-024</x:v>
      </x:c>
      <x:c r="B24" s="4" t="n">
        <x:v>46307</x:v>
      </x:c>
      <x:c r="C24" s="3" t="str">
        <x:v>Wholesale</x:v>
      </x:c>
      <x:c r="D24" s="3" t="str">
        <x:v>Mug</x:v>
      </x:c>
      <x:c r="E24" s="3" t="n">
        <x:v>4</x:v>
      </x:c>
      <x:c r="F24" s="5" t="n">
        <x:v>18</x:v>
      </x:c>
      <x:c r="G24" s="3" t="str">
        <x:v>paid</x:v>
      </x:c>
      <x:c r="H24" s="3" t="str">
        <x:v>batch-2.xlsx/Orders:11</x:v>
      </x:c>
      <x:c r="I24" s="5" t="n">
        <x:f>ROUND(E24*F24,2)</x:f>
        <x:v>72</x:v>
      </x:c>
    </x:row>
  </x:sheetData>
  <x:pageMargins left="0.7" right="0.7" top="0.75" bottom="0.75" header="0.3" footer="0.3"/>
  <x:tableParts count="1">
    <x:tablePart xmlns:r="http://schemas.openxmlformats.org/officeDocument/2006/relationships" r:id="Re731e0148aaa42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40" hidden="0" customWidth="1"/>
    <x:col min="4" max="4" width="95" hidden="0" customWidth="1"/>
  </x:cols>
  <x:sheetData>
    <x:row r="1" ht="30" customHeight="1">
      <x:c r="A1" s="7" t="str">
        <x:v>Source</x:v>
      </x:c>
      <x:c r="B1" s="7" t="str">
        <x:v>Order ID</x:v>
      </x:c>
      <x:c r="C1" s="7" t="str">
        <x:v>Reason</x:v>
      </x:c>
      <x:c r="D1" s="7" t="str">
        <x:v>Original row</x:v>
      </x:c>
    </x:row>
    <x:row r="2" ht="24" customHeight="1">
      <x:c r="A2" s="3" t="str">
        <x:v>batch-2.xlsx/Orders:10</x:v>
      </x:c>
      <x:c r="B2" s="3" t="str">
        <x:v>ORD-023</x:v>
      </x:c>
      <x:c r="C2" s="3" t="str">
        <x:v>Excluded: cancelled</x:v>
      </x:c>
      <x:c r="D2" s="3" t="str">
        <x:v>["ORD-023","2026-10-11","Retail","Canvas bag",3,25,"cancelled"]</x:v>
      </x:c>
    </x:row>
    <x:row r="3" ht="24" customHeight="1">
      <x:c r="A3" s="3" t="str">
        <x:v>batch-2.xlsx/Orders:12</x:v>
      </x:c>
      <x:c r="B3" s="3" t="str">
        <x:v>ORD-001</x:v>
      </x:c>
      <x:c r="C3" s="3" t="str">
        <x:v>Duplicate order</x:v>
      </x:c>
      <x:c r="D3" s="3" t="str">
        <x:v>["ORD-001","2026-10-01","Online","Notebook",1,12.5,"paid"]</x:v>
      </x:c>
    </x:row>
    <x:row r="4" ht="24" customHeight="1">
      <x:c r="A4" s="3" t="str">
        <x:v>batch-2.xlsx/Orders:13</x:v>
      </x:c>
      <x:c r="B4" s="3" t="str">
        <x:v>BAD-1</x:v>
      </x:c>
      <x:c r="C4" s="3" t="str">
        <x:v>Invalid date (YYYY-MM-DD required)</x:v>
      </x:c>
      <x:c r="D4" s="3" t="str">
        <x:v>["BAD-1","2026-02-30","Online","Mug",1,18,"paid"]</x:v>
      </x:c>
    </x:row>
    <x:row r="5" ht="24" customHeight="1">
      <x:c r="A5" s="3" t="str">
        <x:v>batch-2.xlsx/Orders:14</x:v>
      </x:c>
      <x:c r="B5" s="3" t="str">
        <x:v>BAD-2</x:v>
      </x:c>
      <x:c r="C5" s="3" t="str">
        <x:v>Invalid quantity</x:v>
      </x:c>
      <x:c r="D5" s="3" t="str">
        <x:v>["BAD-2","2026-10-04","Retail","Mug",-2,18,"paid"]</x:v>
      </x:c>
    </x:row>
  </x:sheetData>
  <x:pageMargins left="0.7" right="0.7" top="0.75" bottom="0.75" header="0.3" footer="0.3"/>
</x:worksheet>
</file>